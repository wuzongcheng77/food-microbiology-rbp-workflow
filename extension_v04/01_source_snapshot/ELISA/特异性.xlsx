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484" windowHeight="10646" activeTab="1"/>
  </bookViews>
  <sheets>
    <sheet name="亲和性" sheetId="1" r:id="rId1"/>
    <sheet name="特异性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<sst xmlns="http://schemas.openxmlformats.org/spreadsheetml/2006/main" count="39" uniqueCount="20">
  <si>
    <r>
      <rPr>
        <b/>
        <sz val="11"/>
        <color rgb="FF000000"/>
        <rFont val="Arial"/>
        <charset val="0"/>
      </rPr>
      <t>200(</t>
    </r>
    <r>
      <rPr>
        <b/>
        <sz val="11"/>
        <color indexed="8"/>
        <rFont val="宋体"/>
        <charset val="134"/>
      </rPr>
      <t>μg/mL)</t>
    </r>
  </si>
  <si>
    <t>A</t>
  </si>
  <si>
    <t>B</t>
  </si>
  <si>
    <t>C</t>
  </si>
  <si>
    <t>阴性</t>
  </si>
  <si>
    <t>阴性均值</t>
  </si>
  <si>
    <t>F</t>
  </si>
  <si>
    <t>G</t>
  </si>
  <si>
    <t>H</t>
  </si>
  <si>
    <t>减去阴性</t>
  </si>
  <si>
    <t>蛋白浓度</t>
  </si>
  <si>
    <t>O:3</t>
  </si>
  <si>
    <t>O:8</t>
  </si>
  <si>
    <t>O:5,27</t>
  </si>
  <si>
    <t>O:5</t>
  </si>
  <si>
    <t>O:6,30</t>
  </si>
  <si>
    <t>单增李斯特菌</t>
  </si>
  <si>
    <t>副溶血弧菌</t>
  </si>
  <si>
    <t>大肠杆菌</t>
  </si>
  <si>
    <t>90μg/mL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</si>
</sst>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36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b/>
      <sz val="11"/>
      <color indexed="8"/>
      <name val="Arial"/>
      <charset val="134"/>
    </font>
    <font>
      <b/>
      <sz val="11"/>
      <color indexed="8"/>
      <name val="宋体"/>
      <charset val="134"/>
    </font>
    <font>
      <b/>
      <sz val="11"/>
      <color rgb="FF000000"/>
      <name val="Arial"/>
      <charset val="134"/>
    </font>
    <font>
      <sz val="10"/>
      <color indexed="8"/>
      <name val="Arial"/>
      <charset val="0"/>
    </font>
    <font>
      <sz val="7"/>
      <color rgb="FF000000"/>
      <name val="Arial"/>
      <charset val="0"/>
    </font>
    <font>
      <b/>
      <sz val="11"/>
      <color rgb="FF000000"/>
      <name val="宋体"/>
      <charset val="134"/>
    </font>
    <font>
      <sz val="10"/>
      <name val="Arial"/>
      <charset val="0"/>
    </font>
    <font>
      <sz val="10"/>
      <color rgb="FFFF0000"/>
      <name val="Arial"/>
      <charset val="134"/>
    </font>
    <font>
      <sz val="12"/>
      <name val="宋体"/>
      <charset val="134"/>
    </font>
    <font>
      <b/>
      <sz val="11"/>
      <color rgb="FF000000"/>
      <name val="Arial"/>
      <charset val="0"/>
    </font>
    <font>
      <b/>
      <sz val="11"/>
      <color indexed="8"/>
      <name val="Arial"/>
      <charset val="0"/>
    </font>
    <font>
      <sz val="7"/>
      <color indexed="8"/>
      <name val="Arial"/>
      <charset val="0"/>
    </font>
    <font>
      <b/>
      <sz val="11"/>
      <color rgb="FF000000"/>
      <name val="宋体"/>
      <charset val="0"/>
    </font>
    <font>
      <sz val="12"/>
      <name val="宋体"/>
      <charset val="0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4" borderId="5" applyNumberFormat="0" applyAlignment="0" applyProtection="0">
      <alignment vertical="center"/>
    </xf>
    <xf numFmtId="0" fontId="26" fillId="5" borderId="6" applyNumberFormat="0" applyAlignment="0" applyProtection="0">
      <alignment vertical="center"/>
    </xf>
    <xf numFmtId="0" fontId="27" fillId="5" borderId="5" applyNumberFormat="0" applyAlignment="0" applyProtection="0">
      <alignment vertical="center"/>
    </xf>
    <xf numFmtId="0" fontId="28" fillId="6" borderId="7" applyNumberFormat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0" xfId="0" applyFont="1" applyAlignment="1"/>
    <xf numFmtId="0" fontId="10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0" borderId="0" xfId="0" applyFont="1" applyAlignment="1"/>
    <xf numFmtId="0" fontId="16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workbookViewId="0">
      <selection activeCell="B15" sqref="B15"/>
    </sheetView>
  </sheetViews>
  <sheetFormatPr defaultColWidth="8.73148148148148" defaultRowHeight="13.7"/>
  <cols>
    <col min="2" max="2" width="12.8148148148148"/>
  </cols>
  <sheetData>
    <row r="1" ht="14.95" spans="1:14">
      <c r="A1" s="11"/>
      <c r="B1" s="12" t="s">
        <v>0</v>
      </c>
      <c r="C1" s="13">
        <v>150</v>
      </c>
      <c r="D1" s="13">
        <v>125</v>
      </c>
      <c r="E1" s="13">
        <v>100</v>
      </c>
      <c r="F1" s="13">
        <v>75</v>
      </c>
      <c r="G1" s="13">
        <v>50</v>
      </c>
      <c r="H1" s="13">
        <v>30</v>
      </c>
      <c r="I1" s="13">
        <v>20</v>
      </c>
      <c r="J1" s="13">
        <v>10</v>
      </c>
      <c r="K1" s="13">
        <v>5</v>
      </c>
      <c r="L1" s="13">
        <v>2.5</v>
      </c>
      <c r="M1" s="13">
        <v>1</v>
      </c>
      <c r="N1" s="14"/>
    </row>
    <row r="2" ht="13.75" spans="1:14">
      <c r="A2" s="13" t="s">
        <v>1</v>
      </c>
      <c r="B2" s="5">
        <v>1.644</v>
      </c>
      <c r="C2" s="5">
        <v>1.661</v>
      </c>
      <c r="D2" s="5">
        <v>1.568</v>
      </c>
      <c r="E2" s="5">
        <v>1.51</v>
      </c>
      <c r="F2" s="5">
        <v>1.392</v>
      </c>
      <c r="G2" s="5">
        <v>1.227</v>
      </c>
      <c r="H2" s="5">
        <v>0.907</v>
      </c>
      <c r="I2" s="5">
        <v>0.696</v>
      </c>
      <c r="J2" s="5">
        <v>0.43</v>
      </c>
      <c r="K2" s="5">
        <v>0.156</v>
      </c>
      <c r="L2" s="5">
        <v>0.113</v>
      </c>
      <c r="M2" s="5">
        <v>0.087</v>
      </c>
      <c r="N2" s="15">
        <v>450</v>
      </c>
    </row>
    <row r="3" ht="13.75" spans="1:14">
      <c r="A3" s="13" t="s">
        <v>2</v>
      </c>
      <c r="B3" s="5">
        <v>1.669</v>
      </c>
      <c r="C3" s="5">
        <v>1.668</v>
      </c>
      <c r="D3" s="5">
        <v>1.67</v>
      </c>
      <c r="E3" s="5">
        <v>1.606</v>
      </c>
      <c r="F3" s="5">
        <v>1.379</v>
      </c>
      <c r="G3" s="5">
        <v>1.246</v>
      </c>
      <c r="H3" s="5">
        <v>0.828</v>
      </c>
      <c r="I3" s="5">
        <v>0.679</v>
      </c>
      <c r="J3" s="5">
        <v>0.42</v>
      </c>
      <c r="K3" s="5">
        <v>0.163</v>
      </c>
      <c r="L3" s="5">
        <v>0.114</v>
      </c>
      <c r="M3" s="5">
        <v>0.085</v>
      </c>
      <c r="N3" s="15">
        <v>450</v>
      </c>
    </row>
    <row r="4" ht="13.75" spans="1:14">
      <c r="A4" s="13" t="s">
        <v>3</v>
      </c>
      <c r="B4" s="5">
        <v>1.685</v>
      </c>
      <c r="C4" s="5">
        <v>1.649</v>
      </c>
      <c r="D4" s="5">
        <v>1.592</v>
      </c>
      <c r="E4" s="5">
        <v>1.54</v>
      </c>
      <c r="F4" s="5">
        <v>1.383</v>
      </c>
      <c r="G4" s="5">
        <v>1.218</v>
      </c>
      <c r="H4" s="5">
        <v>0.919</v>
      </c>
      <c r="I4" s="5">
        <v>0.687</v>
      </c>
      <c r="J4" s="5">
        <v>0.321</v>
      </c>
      <c r="K4" s="5">
        <v>0.152</v>
      </c>
      <c r="L4" s="5">
        <v>0.115</v>
      </c>
      <c r="M4" s="5">
        <v>0.093</v>
      </c>
      <c r="N4" s="15">
        <v>450</v>
      </c>
    </row>
    <row r="5" ht="13.75" spans="1:14">
      <c r="A5" s="16" t="s">
        <v>4</v>
      </c>
      <c r="B5" s="5">
        <v>0.065</v>
      </c>
      <c r="C5" s="5">
        <v>0.062</v>
      </c>
      <c r="D5" s="5">
        <v>0.042</v>
      </c>
      <c r="F5" s="5"/>
      <c r="G5" s="5"/>
      <c r="H5" s="5"/>
      <c r="I5" s="5"/>
      <c r="J5" s="5"/>
      <c r="K5" s="5"/>
      <c r="L5" s="5"/>
      <c r="M5" s="5"/>
      <c r="N5" s="15">
        <v>450</v>
      </c>
    </row>
    <row r="6" ht="27.45" spans="1:14">
      <c r="A6" s="16" t="s">
        <v>5</v>
      </c>
      <c r="B6" s="5">
        <f>(B5+C5+D5)/3</f>
        <v>0.0563333333333333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15">
        <v>450</v>
      </c>
    </row>
    <row r="7" ht="13.75" spans="1:14">
      <c r="A7" s="13" t="s">
        <v>6</v>
      </c>
      <c r="B7" s="5">
        <v>0.0563</v>
      </c>
      <c r="C7" s="5"/>
      <c r="E7" s="5"/>
      <c r="F7" s="5"/>
      <c r="G7" s="5"/>
      <c r="H7" s="5"/>
      <c r="I7" s="5"/>
      <c r="J7" s="5"/>
      <c r="K7" s="5"/>
      <c r="L7" s="5"/>
      <c r="M7" s="5"/>
      <c r="N7" s="15">
        <v>450</v>
      </c>
    </row>
    <row r="8" ht="13.75" spans="1:14">
      <c r="A8" s="13" t="s">
        <v>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15">
        <v>450</v>
      </c>
    </row>
    <row r="9" ht="13.75" spans="1:14">
      <c r="A9" s="13" t="s">
        <v>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15">
        <v>450</v>
      </c>
    </row>
    <row r="10" ht="14.95" spans="1:14">
      <c r="A10" s="14" t="s">
        <v>9</v>
      </c>
      <c r="B10" s="17">
        <f>B2-0.0563</f>
        <v>1.5877</v>
      </c>
      <c r="C10" s="17">
        <f t="shared" ref="C10:M10" si="0">C2-0.0563</f>
        <v>1.6047</v>
      </c>
      <c r="D10" s="17">
        <f t="shared" si="0"/>
        <v>1.5117</v>
      </c>
      <c r="E10" s="17">
        <f t="shared" si="0"/>
        <v>1.4537</v>
      </c>
      <c r="F10" s="17">
        <f t="shared" si="0"/>
        <v>1.3357</v>
      </c>
      <c r="G10" s="17">
        <f t="shared" si="0"/>
        <v>1.1707</v>
      </c>
      <c r="H10" s="17">
        <f t="shared" si="0"/>
        <v>0.8507</v>
      </c>
      <c r="I10" s="17">
        <f t="shared" si="0"/>
        <v>0.6397</v>
      </c>
      <c r="J10" s="17">
        <f t="shared" si="0"/>
        <v>0.3737</v>
      </c>
      <c r="K10" s="17">
        <f t="shared" si="0"/>
        <v>0.0997</v>
      </c>
      <c r="L10" s="17">
        <f t="shared" si="0"/>
        <v>0.0567</v>
      </c>
      <c r="M10" s="17">
        <f t="shared" si="0"/>
        <v>0.0307</v>
      </c>
      <c r="N10" s="14"/>
    </row>
    <row r="11" ht="14.95" spans="1:14">
      <c r="A11" s="14"/>
      <c r="B11" s="17">
        <f>B3-0.0563</f>
        <v>1.6127</v>
      </c>
      <c r="C11" s="17">
        <f t="shared" ref="C11:M11" si="1">C3-0.0563</f>
        <v>1.6117</v>
      </c>
      <c r="D11" s="17">
        <f t="shared" si="1"/>
        <v>1.6137</v>
      </c>
      <c r="E11" s="17">
        <f t="shared" si="1"/>
        <v>1.5497</v>
      </c>
      <c r="F11" s="17">
        <f t="shared" si="1"/>
        <v>1.3227</v>
      </c>
      <c r="G11" s="17">
        <f t="shared" si="1"/>
        <v>1.1897</v>
      </c>
      <c r="H11" s="17">
        <f t="shared" si="1"/>
        <v>0.7717</v>
      </c>
      <c r="I11" s="17">
        <f t="shared" si="1"/>
        <v>0.6227</v>
      </c>
      <c r="J11" s="17">
        <f t="shared" si="1"/>
        <v>0.3637</v>
      </c>
      <c r="K11" s="17">
        <f t="shared" si="1"/>
        <v>0.1067</v>
      </c>
      <c r="L11" s="17">
        <f t="shared" si="1"/>
        <v>0.0577</v>
      </c>
      <c r="M11" s="17">
        <f t="shared" si="1"/>
        <v>0.0287</v>
      </c>
      <c r="N11" s="14"/>
    </row>
    <row r="12" ht="14.95" spans="1:14">
      <c r="A12" s="14"/>
      <c r="B12" s="17">
        <f>B4-0.0563</f>
        <v>1.6287</v>
      </c>
      <c r="C12" s="17">
        <f t="shared" ref="C12:M12" si="2">C4-0.0563</f>
        <v>1.5927</v>
      </c>
      <c r="D12" s="17">
        <f t="shared" si="2"/>
        <v>1.5357</v>
      </c>
      <c r="E12" s="17">
        <f t="shared" si="2"/>
        <v>1.4837</v>
      </c>
      <c r="F12" s="17">
        <f t="shared" si="2"/>
        <v>1.3267</v>
      </c>
      <c r="G12" s="17">
        <f t="shared" si="2"/>
        <v>1.1617</v>
      </c>
      <c r="H12" s="17">
        <f t="shared" si="2"/>
        <v>0.8627</v>
      </c>
      <c r="I12" s="17">
        <f t="shared" si="2"/>
        <v>0.6307</v>
      </c>
      <c r="J12" s="17">
        <f t="shared" si="2"/>
        <v>0.2647</v>
      </c>
      <c r="K12" s="17">
        <f t="shared" si="2"/>
        <v>0.0957</v>
      </c>
      <c r="L12" s="17">
        <f t="shared" si="2"/>
        <v>0.0587</v>
      </c>
      <c r="M12" s="17">
        <f t="shared" si="2"/>
        <v>0.0367</v>
      </c>
      <c r="N12" s="14"/>
    </row>
    <row r="13" ht="14.95" spans="1:14">
      <c r="B13" s="18"/>
      <c r="C13" s="18"/>
      <c r="D13" s="18"/>
    </row>
    <row r="14" ht="14.95" spans="1:14">
      <c r="B14" s="18"/>
      <c r="C14" s="18"/>
      <c r="D14" s="1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abSelected="1" workbookViewId="0">
      <selection activeCell="J13" sqref="J13"/>
    </sheetView>
  </sheetViews>
  <sheetFormatPr defaultColWidth="8.73148148148148" defaultRowHeight="13.7"/>
  <sheetData>
    <row r="1" ht="29.95" spans="1:11">
      <c r="A1" s="1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14</v>
      </c>
      <c r="G1" s="2" t="s">
        <v>15</v>
      </c>
      <c r="H1" s="3" t="s">
        <v>16</v>
      </c>
      <c r="I1" s="3" t="s">
        <v>17</v>
      </c>
      <c r="J1" s="3" t="s">
        <v>18</v>
      </c>
    </row>
    <row r="2" ht="27.45" spans="1:11">
      <c r="A2" s="4" t="s">
        <v>19</v>
      </c>
      <c r="B2" s="5">
        <v>1.827</v>
      </c>
      <c r="C2" s="5">
        <v>0.71</v>
      </c>
      <c r="D2" s="5">
        <v>0.496</v>
      </c>
      <c r="E2" s="5">
        <v>0.488</v>
      </c>
      <c r="F2" s="5">
        <v>0.385</v>
      </c>
      <c r="G2" s="5">
        <v>0.5</v>
      </c>
      <c r="H2" s="5">
        <v>0.555</v>
      </c>
      <c r="I2" s="5">
        <v>0.62</v>
      </c>
      <c r="J2" s="5">
        <v>0.552</v>
      </c>
      <c r="K2" s="6">
        <v>450</v>
      </c>
    </row>
    <row r="3" ht="27.45" spans="1:11">
      <c r="A3" s="4" t="s">
        <v>19</v>
      </c>
      <c r="B3" s="5">
        <v>1.865</v>
      </c>
      <c r="C3" s="5">
        <v>0.692</v>
      </c>
      <c r="D3" s="5">
        <v>0.612</v>
      </c>
      <c r="E3" s="5">
        <v>0.492</v>
      </c>
      <c r="F3" s="5">
        <v>0.451</v>
      </c>
      <c r="G3" s="5">
        <v>0.552</v>
      </c>
      <c r="H3" s="5">
        <v>0.468</v>
      </c>
      <c r="I3" s="5">
        <v>0.633</v>
      </c>
      <c r="J3" s="5">
        <v>0.535</v>
      </c>
      <c r="K3" s="6">
        <v>450</v>
      </c>
    </row>
    <row r="4" ht="27.45" spans="1:11">
      <c r="A4" s="4" t="s">
        <v>19</v>
      </c>
      <c r="B4" s="5">
        <v>1.96</v>
      </c>
      <c r="C4" s="5">
        <v>0.695</v>
      </c>
      <c r="D4" s="5">
        <v>0.507</v>
      </c>
      <c r="E4" s="5">
        <v>0.533</v>
      </c>
      <c r="F4" s="5">
        <v>0.558</v>
      </c>
      <c r="G4" s="5">
        <v>0.668</v>
      </c>
      <c r="H4" s="5">
        <v>0.558</v>
      </c>
      <c r="I4" s="5">
        <v>0.574</v>
      </c>
      <c r="J4" s="5">
        <v>0.521</v>
      </c>
      <c r="K4" s="6">
        <v>450</v>
      </c>
    </row>
    <row r="5" ht="13.75" spans="1:11">
      <c r="A5" s="7" t="s">
        <v>4</v>
      </c>
      <c r="B5" s="5">
        <v>0.227</v>
      </c>
      <c r="C5" s="5">
        <v>0.373</v>
      </c>
      <c r="D5" s="5">
        <v>0.397</v>
      </c>
      <c r="E5" s="5">
        <v>0.262</v>
      </c>
      <c r="F5" s="5">
        <v>0.298</v>
      </c>
      <c r="G5" s="5">
        <v>0.311</v>
      </c>
      <c r="H5" s="5">
        <v>0.273</v>
      </c>
      <c r="I5" s="5">
        <v>0.432</v>
      </c>
      <c r="J5" s="5">
        <v>0.365</v>
      </c>
      <c r="K5" s="6">
        <v>450</v>
      </c>
    </row>
    <row r="6" ht="13.75" spans="1:11">
      <c r="A6" s="7" t="s">
        <v>4</v>
      </c>
      <c r="B6" s="5">
        <v>0.271</v>
      </c>
      <c r="C6" s="8">
        <v>0.465</v>
      </c>
      <c r="D6" s="5">
        <v>0.415</v>
      </c>
      <c r="E6" s="5">
        <v>0.28</v>
      </c>
      <c r="F6" s="5">
        <v>0.34</v>
      </c>
      <c r="G6" s="5">
        <v>0.289</v>
      </c>
      <c r="H6" s="5">
        <v>0.355</v>
      </c>
      <c r="I6" s="5">
        <v>0.35</v>
      </c>
      <c r="J6" s="5">
        <v>0.333</v>
      </c>
      <c r="K6" s="6">
        <v>450</v>
      </c>
    </row>
    <row r="7" spans="1:11">
      <c r="A7" t="s">
        <v>5</v>
      </c>
      <c r="B7" s="9">
        <f>AVERAGE(B5:B6)</f>
        <v>0.249</v>
      </c>
      <c r="C7" s="9">
        <f t="shared" ref="C7:J7" si="0">AVERAGE(C5:C6)</f>
        <v>0.419</v>
      </c>
      <c r="D7" s="9">
        <f t="shared" si="0"/>
        <v>0.406</v>
      </c>
      <c r="E7" s="9">
        <f t="shared" si="0"/>
        <v>0.271</v>
      </c>
      <c r="F7" s="9">
        <f t="shared" si="0"/>
        <v>0.319</v>
      </c>
      <c r="G7" s="9">
        <f t="shared" si="0"/>
        <v>0.3</v>
      </c>
      <c r="H7" s="9">
        <f t="shared" si="0"/>
        <v>0.314</v>
      </c>
      <c r="I7" s="9">
        <f t="shared" si="0"/>
        <v>0.391</v>
      </c>
      <c r="J7" s="9">
        <f t="shared" si="0"/>
        <v>0.349</v>
      </c>
      <c r="K7" s="6"/>
    </row>
    <row r="8" spans="1:11">
      <c r="K8" s="6"/>
    </row>
    <row r="9" spans="1:11">
      <c r="K9" s="6"/>
    </row>
    <row r="11" ht="27.45" spans="1:11">
      <c r="A11" t="s">
        <v>9</v>
      </c>
      <c r="B11" s="2" t="s">
        <v>11</v>
      </c>
      <c r="C11" s="2" t="s">
        <v>12</v>
      </c>
      <c r="D11" s="2" t="s">
        <v>13</v>
      </c>
      <c r="E11" s="2" t="s">
        <v>14</v>
      </c>
      <c r="F11" s="2" t="s">
        <v>14</v>
      </c>
      <c r="G11" s="2" t="s">
        <v>15</v>
      </c>
      <c r="H11" s="3" t="s">
        <v>16</v>
      </c>
      <c r="I11" s="3" t="s">
        <v>17</v>
      </c>
      <c r="J11" s="3" t="s">
        <v>18</v>
      </c>
    </row>
    <row r="12" ht="27.45" spans="1:11">
      <c r="A12" s="4" t="s">
        <v>19</v>
      </c>
      <c r="B12" s="10">
        <f>B2-B7</f>
        <v>1.578</v>
      </c>
      <c r="C12" s="10">
        <f>C2-0.419</f>
        <v>0.291</v>
      </c>
      <c r="D12" s="10">
        <f>D2-0.406</f>
        <v>0.09</v>
      </c>
      <c r="E12" s="10">
        <f>E2-0.271</f>
        <v>0.217</v>
      </c>
      <c r="F12" s="10">
        <f>F2-0.319</f>
        <v>0.066</v>
      </c>
      <c r="G12" s="10">
        <f>G2-0.3</f>
        <v>0.2</v>
      </c>
      <c r="H12" s="10">
        <f>H2-0.314</f>
        <v>0.241</v>
      </c>
      <c r="I12" s="10">
        <f>I2-0.391</f>
        <v>0.229</v>
      </c>
      <c r="J12" s="10">
        <f>J2-0.349</f>
        <v>0.203</v>
      </c>
    </row>
    <row r="13" ht="27.45" spans="1:11">
      <c r="A13" s="4" t="s">
        <v>19</v>
      </c>
      <c r="B13" s="10">
        <f>B3-B7</f>
        <v>1.616</v>
      </c>
      <c r="C13" s="10">
        <f>C3-0.419</f>
        <v>0.273</v>
      </c>
      <c r="D13" s="10">
        <f>D3-0.406</f>
        <v>0.206</v>
      </c>
      <c r="E13" s="10">
        <f>E3-0.271</f>
        <v>0.221</v>
      </c>
      <c r="F13" s="10">
        <f>F3-0.319</f>
        <v>0.132</v>
      </c>
      <c r="G13" s="10">
        <f>G3-0.3</f>
        <v>0.252</v>
      </c>
      <c r="H13" s="10">
        <f>H3-0.314</f>
        <v>0.154</v>
      </c>
      <c r="I13" s="10">
        <f>I3-0.391</f>
        <v>0.242</v>
      </c>
      <c r="J13" s="10">
        <f>J3-0.349</f>
        <v>0.186</v>
      </c>
    </row>
    <row r="14" ht="27.45" spans="1:11">
      <c r="A14" s="4" t="s">
        <v>19</v>
      </c>
      <c r="B14" s="10">
        <f>B4-B7</f>
        <v>1.711</v>
      </c>
      <c r="C14" s="10">
        <f>C4-0.419</f>
        <v>0.276</v>
      </c>
      <c r="D14" s="10">
        <f>D4-0.406</f>
        <v>0.101</v>
      </c>
      <c r="E14" s="10">
        <f>E4-0.271</f>
        <v>0.262</v>
      </c>
      <c r="F14" s="10">
        <f>F4-0.319</f>
        <v>0.239</v>
      </c>
      <c r="G14" s="10">
        <f>G4-0.3</f>
        <v>0.368</v>
      </c>
      <c r="H14" s="10">
        <f>H4-0.314</f>
        <v>0.244</v>
      </c>
      <c r="I14" s="10">
        <f>I4-0.391</f>
        <v>0.183</v>
      </c>
      <c r="J14" s="10">
        <f>J4-0.349</f>
        <v>0.172</v>
      </c>
    </row>
  </sheetData>
  <pageMargins left="0.75" right="0.75" top="1" bottom="1" header="0.5" footer="0.5"/>
  <headerFooter/>
  <ignoredErrors>
    <ignoredError sqref="B7:J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亲和性</vt:lpstr>
      <vt:lpstr>特异性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吴宗澄</cp:lastModifiedBy>
  <dcterms:created xsi:type="dcterms:W3CDTF">2025-03-03T02:07:00Z</dcterms:created>
  <dcterms:modified xsi:type="dcterms:W3CDTF">2026-07-05T12:42:07Z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5D6F8B4AFC62488B946F7B497C5B3169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