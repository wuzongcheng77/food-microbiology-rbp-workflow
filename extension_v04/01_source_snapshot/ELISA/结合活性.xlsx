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51" windowHeight="1041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<sst xmlns="http://schemas.openxmlformats.org/spreadsheetml/2006/main" count="10" uniqueCount="9">
  <si>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r>
      <rPr>
        <b/>
        <sz val="11"/>
        <color rgb="FF000000"/>
        <rFont val="Arial"/>
        <charset val="0"/>
      </rPr>
      <t>200(</t>
    </r>
    <r>
      <rPr>
        <b/>
        <sz val="11"/>
        <color indexed="8"/>
        <rFont val="宋体"/>
        <charset val="134"/>
      </rPr>
      <t>μg/mL)</t>
    </r>
  </si>
  <si>
    <t>A</t>
  </si>
  <si>
    <t>B</t>
  </si>
  <si>
    <t>C</t>
  </si>
  <si>
    <t>阴性</t>
  </si>
  <si>
    <t>阴性均值</t>
  </si>
  <si>
    <t>G</t>
  </si>
  <si>
    <t>H</t>
  </si>
  <si>
    <t>减去阴性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</si>
</sst>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30">
    <font>
      <sz val="11"/>
      <color theme="1"/>
      <name val="等线"/>
      <charset val="134"/>
      <scheme val="minor"/>
    </font>
    <font>
      <sz val="12"/>
      <name val="宋体"/>
      <charset val="134"/>
    </font>
    <font>
      <b/>
      <sz val="11"/>
      <color rgb="FF000000"/>
      <name val="Arial"/>
      <charset val="0"/>
    </font>
    <font>
      <b/>
      <sz val="11"/>
      <color indexed="8"/>
      <name val="Arial"/>
      <charset val="0"/>
    </font>
    <font>
      <sz val="10"/>
      <color indexed="8"/>
      <name val="Arial"/>
      <charset val="0"/>
    </font>
    <font>
      <sz val="7"/>
      <color indexed="8"/>
      <name val="Arial"/>
      <charset val="0"/>
    </font>
    <font>
      <b/>
      <sz val="11"/>
      <color rgb="FF000000"/>
      <name val="宋体"/>
      <charset val="0"/>
    </font>
    <font>
      <sz val="10"/>
      <color rgb="FFFF0000"/>
      <name val="Arial"/>
      <charset val="0"/>
    </font>
    <font>
      <sz val="12"/>
      <name val="宋体"/>
      <charset val="0"/>
    </font>
    <font>
      <sz val="12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0" xfId="0" applyFont="1" applyFill="1" applyAlignment="1"/>
    <xf numFmtId="0" fontId="9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tabSelected="1" workbookViewId="0">
      <selection activeCell="J14" sqref="J14"/>
    </sheetView>
  </sheetViews>
  <sheetFormatPr defaultColWidth="9" defaultRowHeight="13.7"/>
  <sheetData>
    <row r="1" ht="27.45" spans="1:15">
      <c r="A1" s="1"/>
      <c r="B1" s="2" t="s">
        <v>0</v>
      </c>
      <c r="C1" s="3">
        <v>150</v>
      </c>
      <c r="D1" s="3">
        <v>125</v>
      </c>
      <c r="E1" s="3">
        <v>100</v>
      </c>
      <c r="F1" s="3">
        <v>75</v>
      </c>
      <c r="G1" s="3">
        <v>50</v>
      </c>
      <c r="H1" s="3">
        <v>30</v>
      </c>
      <c r="I1" s="3">
        <v>20</v>
      </c>
      <c r="J1" s="3">
        <v>10</v>
      </c>
      <c r="K1" s="3">
        <v>5</v>
      </c>
      <c r="L1" s="3">
        <v>2.5</v>
      </c>
      <c r="M1" s="3">
        <v>1</v>
      </c>
      <c r="N1" s="4"/>
      <c r="O1" s="5"/>
    </row>
    <row r="2" ht="13.75" spans="1:15">
      <c r="A2" s="3" t="s">
        <v>1</v>
      </c>
      <c r="B2" s="6">
        <v>1.644</v>
      </c>
      <c r="C2" s="6">
        <v>1.661</v>
      </c>
      <c r="D2" s="6">
        <v>1.568</v>
      </c>
      <c r="E2" s="6">
        <v>1.51</v>
      </c>
      <c r="F2" s="6">
        <v>1.392</v>
      </c>
      <c r="G2" s="6">
        <v>1.227</v>
      </c>
      <c r="H2" s="6">
        <v>0.907</v>
      </c>
      <c r="I2" s="6">
        <v>0.696</v>
      </c>
      <c r="J2" s="6">
        <v>0.43</v>
      </c>
      <c r="K2" s="6">
        <v>0.156</v>
      </c>
      <c r="L2" s="6">
        <v>0.113</v>
      </c>
      <c r="M2" s="6">
        <v>0.087</v>
      </c>
      <c r="N2" s="7">
        <v>450</v>
      </c>
      <c r="O2" s="5"/>
    </row>
    <row r="3" ht="13.75" spans="1:15">
      <c r="A3" s="3" t="s">
        <v>2</v>
      </c>
      <c r="B3" s="6">
        <v>1.669</v>
      </c>
      <c r="C3" s="6">
        <v>1.668</v>
      </c>
      <c r="D3" s="6">
        <v>1.67</v>
      </c>
      <c r="E3" s="6">
        <v>1.606</v>
      </c>
      <c r="F3" s="6">
        <v>1.379</v>
      </c>
      <c r="G3" s="6">
        <v>1.246</v>
      </c>
      <c r="H3" s="6">
        <v>0.828</v>
      </c>
      <c r="I3" s="6">
        <v>0.679</v>
      </c>
      <c r="J3" s="6">
        <v>0.42</v>
      </c>
      <c r="K3" s="6">
        <v>0.163</v>
      </c>
      <c r="L3" s="6">
        <v>0.114</v>
      </c>
      <c r="M3" s="6">
        <v>0.085</v>
      </c>
      <c r="N3" s="7">
        <v>450</v>
      </c>
      <c r="O3" s="5"/>
    </row>
    <row r="4" ht="13.75" spans="1:15">
      <c r="A4" s="3" t="s">
        <v>3</v>
      </c>
      <c r="B4" s="6">
        <v>1.685</v>
      </c>
      <c r="C4" s="6">
        <v>1.649</v>
      </c>
      <c r="D4" s="6">
        <v>1.592</v>
      </c>
      <c r="E4" s="6">
        <v>1.54</v>
      </c>
      <c r="F4" s="6">
        <v>1.383</v>
      </c>
      <c r="G4" s="6">
        <v>1.218</v>
      </c>
      <c r="H4" s="6">
        <v>0.919</v>
      </c>
      <c r="I4" s="6">
        <v>0.687</v>
      </c>
      <c r="J4" s="6">
        <v>0.321</v>
      </c>
      <c r="K4" s="6">
        <v>0.152</v>
      </c>
      <c r="L4" s="6">
        <v>0.115</v>
      </c>
      <c r="M4" s="6">
        <v>0.093</v>
      </c>
      <c r="N4" s="7">
        <v>450</v>
      </c>
      <c r="O4" s="5"/>
    </row>
    <row r="5" ht="13.75" spans="1:15">
      <c r="A5" s="8" t="s">
        <v>4</v>
      </c>
      <c r="B5" s="6">
        <v>0.065</v>
      </c>
      <c r="C5" s="6">
        <v>0.062</v>
      </c>
      <c r="D5" s="6">
        <v>0.042</v>
      </c>
      <c r="E5" s="5"/>
      <c r="F5" s="6"/>
      <c r="G5" s="6"/>
      <c r="H5" s="6"/>
      <c r="I5" s="6"/>
      <c r="J5" s="6"/>
      <c r="K5" s="6"/>
      <c r="L5" s="6"/>
      <c r="M5" s="6"/>
      <c r="N5" s="7">
        <v>450</v>
      </c>
      <c r="O5" s="5"/>
    </row>
    <row r="6" ht="13.75" spans="1:15">
      <c r="A6" s="8" t="s">
        <v>5</v>
      </c>
      <c r="B6" s="6">
        <f>(B5+C5+D5)/3</f>
        <v>0.0563333333333333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>
        <v>450</v>
      </c>
      <c r="O6" s="5"/>
    </row>
    <row r="7" ht="13.75" spans="1:15">
      <c r="A7" s="8" t="s">
        <v>5</v>
      </c>
      <c r="B7" s="9">
        <v>0.0563</v>
      </c>
      <c r="C7" s="6"/>
      <c r="D7" s="5"/>
      <c r="E7" s="6"/>
      <c r="F7" s="6"/>
      <c r="G7" s="6"/>
      <c r="H7" s="6"/>
      <c r="I7" s="6"/>
      <c r="J7" s="6"/>
      <c r="K7" s="6"/>
      <c r="L7" s="6"/>
      <c r="M7" s="6"/>
      <c r="N7" s="7">
        <v>450</v>
      </c>
      <c r="O7" s="5"/>
    </row>
    <row r="8" ht="13.75" spans="1:15">
      <c r="A8" s="3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>
        <v>450</v>
      </c>
      <c r="O8" s="5"/>
    </row>
    <row r="9" ht="13.75" spans="1:15">
      <c r="A9" s="3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7">
        <v>450</v>
      </c>
      <c r="O9" s="5"/>
    </row>
    <row r="10" ht="14.95" spans="1:15">
      <c r="A10" s="4" t="s">
        <v>8</v>
      </c>
      <c r="B10" s="10">
        <f t="shared" ref="B10:M10" si="0">B2-0.0563</f>
        <v>1.5877</v>
      </c>
      <c r="C10" s="10">
        <f t="shared" si="0"/>
        <v>1.6047</v>
      </c>
      <c r="D10" s="10">
        <f t="shared" si="0"/>
        <v>1.5117</v>
      </c>
      <c r="E10" s="10">
        <f t="shared" si="0"/>
        <v>1.4537</v>
      </c>
      <c r="F10" s="10">
        <f t="shared" si="0"/>
        <v>1.3357</v>
      </c>
      <c r="G10" s="10">
        <f t="shared" si="0"/>
        <v>1.1707</v>
      </c>
      <c r="H10" s="10">
        <f t="shared" si="0"/>
        <v>0.8507</v>
      </c>
      <c r="I10" s="10">
        <f t="shared" si="0"/>
        <v>0.6397</v>
      </c>
      <c r="J10" s="10">
        <f t="shared" si="0"/>
        <v>0.3737</v>
      </c>
      <c r="K10" s="10">
        <f t="shared" si="0"/>
        <v>0.0997</v>
      </c>
      <c r="L10" s="10">
        <f t="shared" si="0"/>
        <v>0.0567</v>
      </c>
      <c r="M10" s="10">
        <f t="shared" si="0"/>
        <v>0.0307</v>
      </c>
      <c r="N10" s="4"/>
      <c r="O10" s="5"/>
    </row>
    <row r="11" ht="14.95" spans="1:15">
      <c r="A11" s="4"/>
      <c r="B11" s="10">
        <f t="shared" ref="B11:M11" si="1">B3-0.0563</f>
        <v>1.6127</v>
      </c>
      <c r="C11" s="10">
        <f t="shared" si="1"/>
        <v>1.6117</v>
      </c>
      <c r="D11" s="10">
        <f t="shared" si="1"/>
        <v>1.6137</v>
      </c>
      <c r="E11" s="10">
        <f t="shared" si="1"/>
        <v>1.5497</v>
      </c>
      <c r="F11" s="10">
        <f t="shared" si="1"/>
        <v>1.3227</v>
      </c>
      <c r="G11" s="10">
        <f t="shared" si="1"/>
        <v>1.1897</v>
      </c>
      <c r="H11" s="10">
        <f t="shared" si="1"/>
        <v>0.7717</v>
      </c>
      <c r="I11" s="10">
        <f t="shared" si="1"/>
        <v>0.6227</v>
      </c>
      <c r="J11" s="10">
        <f t="shared" si="1"/>
        <v>0.3637</v>
      </c>
      <c r="K11" s="10">
        <f t="shared" si="1"/>
        <v>0.1067</v>
      </c>
      <c r="L11" s="10">
        <f t="shared" si="1"/>
        <v>0.0577</v>
      </c>
      <c r="M11" s="10">
        <f t="shared" si="1"/>
        <v>0.0287</v>
      </c>
      <c r="N11" s="4"/>
      <c r="O11" s="5"/>
    </row>
    <row r="12" ht="14.95" spans="1:15">
      <c r="A12" s="4"/>
      <c r="B12" s="10">
        <f t="shared" ref="B12:M12" si="2">B4-0.0563</f>
        <v>1.6287</v>
      </c>
      <c r="C12" s="10">
        <f t="shared" si="2"/>
        <v>1.5927</v>
      </c>
      <c r="D12" s="10">
        <f t="shared" si="2"/>
        <v>1.5357</v>
      </c>
      <c r="E12" s="10">
        <f t="shared" si="2"/>
        <v>1.4837</v>
      </c>
      <c r="F12" s="10">
        <f t="shared" si="2"/>
        <v>1.3267</v>
      </c>
      <c r="G12" s="10">
        <f t="shared" si="2"/>
        <v>1.1617</v>
      </c>
      <c r="H12" s="10">
        <f t="shared" si="2"/>
        <v>0.8627</v>
      </c>
      <c r="I12" s="10">
        <f t="shared" si="2"/>
        <v>0.6307</v>
      </c>
      <c r="J12" s="10">
        <f t="shared" si="2"/>
        <v>0.2647</v>
      </c>
      <c r="K12" s="10">
        <f t="shared" si="2"/>
        <v>0.0957</v>
      </c>
      <c r="L12" s="10">
        <f t="shared" si="2"/>
        <v>0.0587</v>
      </c>
      <c r="M12" s="10">
        <f t="shared" si="2"/>
        <v>0.0367</v>
      </c>
      <c r="N12" s="4"/>
      <c r="O12" s="5"/>
    </row>
    <row r="13" ht="14.95" spans="1:15">
      <c r="A13" s="5"/>
      <c r="B13" s="11"/>
      <c r="C13" s="11"/>
      <c r="D13" s="1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4.95" spans="1:15">
      <c r="A14" s="5"/>
      <c r="B14" s="11"/>
      <c r="C14" s="11"/>
      <c r="D14" s="11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吴宗澄</cp:lastModifiedBy>
  <dcterms:created xsi:type="dcterms:W3CDTF">2015-06-05T18:19:00Z</dcterms:created>
  <dcterms:modified xsi:type="dcterms:W3CDTF">2026-07-05T12:42:02Z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1D593A1C04CC46B4AF24A103EBF7C10B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